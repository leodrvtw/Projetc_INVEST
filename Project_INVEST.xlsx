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3521E879-052D-416A-9E2B-6DAC76776B7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_INVEST" sheetId="1" r:id="rId1"/>
    <sheet name="APOIO" sheetId="2" r:id="rId2"/>
  </sheets>
  <definedNames>
    <definedName name="aporte">APP_INVEST!$D$17:$D$17</definedName>
    <definedName name="patrimonio">APP_INVEST!$D$20:$D$20</definedName>
    <definedName name="PORCENTAGEM">APP_INVEST!$C$36:$C$36</definedName>
    <definedName name="Qtd_Anos">APP_INVEST!$D$18:$D$18</definedName>
    <definedName name="Rendimento_Carteira">APP_INVEST!$D$13:$D$13</definedName>
    <definedName name="salario">APP_INVEST!$D$12:$D$12</definedName>
    <definedName name="sugestao_investimento">APP_INVEST!$D$14:$D$14</definedName>
    <definedName name="Taxa_Mensal">APP_INVEST!$D$19:$D$19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I6" i="2"/>
  <c r="A13" i="2"/>
  <c r="A14" i="2"/>
  <c r="A15" i="2"/>
  <c r="A16" i="2"/>
  <c r="A17" i="2"/>
  <c r="A18" i="2"/>
  <c r="A19" i="2"/>
  <c r="A20" i="2"/>
  <c r="A21" i="2"/>
  <c r="A22" i="2"/>
  <c r="A23" i="2"/>
  <c r="A24" i="2"/>
  <c r="A8" i="2"/>
  <c r="A9" i="2"/>
  <c r="A10" i="2"/>
  <c r="A11" i="2"/>
  <c r="A12" i="2"/>
  <c r="A7" i="2"/>
  <c r="D37" i="1"/>
  <c r="D38" i="1"/>
  <c r="D39" i="1"/>
  <c r="D40" i="1"/>
  <c r="D41" i="1"/>
  <c r="D36" i="1"/>
  <c r="D42" i="1" s="1"/>
  <c r="C25" i="1" a="1"/>
  <c r="C25" i="1"/>
  <c r="C26" i="1" a="1"/>
  <c r="C26" i="1"/>
  <c r="C27" i="1" a="1"/>
  <c r="C27" i="1"/>
  <c r="C28" i="1" a="1"/>
  <c r="C28" i="1"/>
  <c r="C24" i="1" a="1"/>
  <c r="C24" i="1"/>
  <c r="D20" i="1" a="1"/>
  <c r="D20" i="1"/>
  <c r="D21" i="1" s="1" a="1"/>
  <c r="D21" i="1" s="1"/>
  <c r="D25" i="1" a="1"/>
  <c r="D25" i="1"/>
  <c r="D26" i="1" a="1"/>
  <c r="D26" i="1"/>
  <c r="D27" i="1" a="1"/>
  <c r="D27" i="1"/>
  <c r="D28" i="1" a="1"/>
  <c r="D28" i="1"/>
  <c r="D24" i="1" a="1"/>
  <c r="D24" i="1"/>
  <c r="D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<sst xmlns="http://schemas.openxmlformats.org/spreadsheetml/2006/main" count="71" uniqueCount="34">
  <si>
    <t>Configurações</t>
  </si>
  <si>
    <t>Salario</t>
  </si>
  <si>
    <t>Rendimento carteira</t>
  </si>
  <si>
    <t>Sugestão de investimento (30%)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</si>
  <si>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</si>
  <si>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</si>
  <si>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</si>
  <si>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</si>
  <si>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</si>
  <si>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</si>
  <si>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</si>
  <si>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</si>
  <si>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</t>
  </si>
  <si>
    <t>Quanto em 5 Anos</t>
  </si>
  <si>
    <t>Quanto em 10 Anos</t>
  </si>
  <si>
    <t>Quanto em 20 Anos</t>
  </si>
  <si>
    <t>Quanto em 30 Anos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</si>
  <si>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</si>
  <si>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</si>
  <si>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</si>
  <si>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</si>
  <si>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</si>
  <si>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</si>
  <si>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</si>
  <si>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</si>
  <si>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HIBRIDO</t>
  </si>
  <si>
    <t>FOFs</t>
  </si>
  <si>
    <t>DESENVOLVIMENTO</t>
  </si>
  <si>
    <t>HOTELARIAS</t>
  </si>
  <si>
    <t>%</t>
  </si>
  <si>
    <t xml:space="preserve">Chave </t>
  </si>
  <si>
    <t>MODERADO-TIJOLO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</si>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</sst>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00%"/>
    <numFmt numFmtId="165" formatCode="&quot;R$&quot;\ #,##0.00"/>
  </numFmts>
  <fonts count="1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Calibri"/>
      <scheme val="minor"/>
    </font>
    <font>
      <b/>
      <sz val="16"/>
      <color theme="0"/>
      <name val="Calibri"/>
      <scheme val="minor"/>
    </font>
    <font>
      <b/>
      <sz val="12"/>
      <color theme="0"/>
      <name val="Calibri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8A0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/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1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0" tint="-0.1499984740745262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0" tint="-0.1499984740745262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0" tint="-0.14999847407452621"/>
      </top>
      <bottom style="thin">
        <color theme="2" tint="-9.9978637043366805E-2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0" fillId="3" borderId="0" xfId="0" applyFill="1"/>
    <xf numFmtId="0" fontId="7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8" fontId="0" fillId="3" borderId="0" xfId="0" applyNumberFormat="1" applyFill="1" applyAlignment="1">
      <alignment horizontal="right"/>
    </xf>
    <xf numFmtId="0" fontId="2" fillId="2" borderId="4" xfId="0" applyFont="1" applyFill="1" applyBorder="1" applyAlignment="1">
      <alignment vertical="center"/>
    </xf>
    <xf numFmtId="0" fontId="0" fillId="7" borderId="0" xfId="0" applyFill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165" fontId="0" fillId="0" borderId="7" xfId="0" applyNumberFormat="1" applyBorder="1" applyAlignment="1">
      <alignment horizontal="center"/>
    </xf>
    <xf numFmtId="9" fontId="0" fillId="0" borderId="10" xfId="0" applyNumberFormat="1" applyBorder="1" applyAlignment="1">
      <alignment horizontal="right"/>
    </xf>
    <xf numFmtId="165" fontId="0" fillId="0" borderId="14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8" fontId="0" fillId="4" borderId="10" xfId="0" applyNumberFormat="1" applyFill="1" applyBorder="1" applyAlignment="1">
      <alignment horizontal="center"/>
    </xf>
    <xf numFmtId="8" fontId="0" fillId="4" borderId="13" xfId="0" applyNumberFormat="1" applyFill="1" applyBorder="1" applyAlignment="1">
      <alignment horizontal="center"/>
    </xf>
    <xf numFmtId="0" fontId="5" fillId="5" borderId="15" xfId="0" applyFont="1" applyFill="1" applyBorder="1"/>
    <xf numFmtId="8" fontId="0" fillId="5" borderId="16" xfId="0" applyNumberFormat="1" applyFill="1" applyBorder="1" applyAlignment="1">
      <alignment horizontal="center"/>
    </xf>
    <xf numFmtId="8" fontId="0" fillId="5" borderId="17" xfId="0" applyNumberFormat="1" applyFill="1" applyBorder="1" applyAlignment="1">
      <alignment horizontal="center"/>
    </xf>
    <xf numFmtId="0" fontId="5" fillId="5" borderId="8" xfId="0" applyFont="1" applyFill="1" applyBorder="1"/>
    <xf numFmtId="8" fontId="0" fillId="5" borderId="9" xfId="0" applyNumberFormat="1" applyFill="1" applyBorder="1" applyAlignment="1">
      <alignment horizontal="center"/>
    </xf>
    <xf numFmtId="8" fontId="0" fillId="5" borderId="10" xfId="0" applyNumberFormat="1" applyFill="1" applyBorder="1" applyAlignment="1">
      <alignment horizontal="center"/>
    </xf>
    <xf numFmtId="0" fontId="5" fillId="5" borderId="11" xfId="0" applyFont="1" applyFill="1" applyBorder="1"/>
    <xf numFmtId="8" fontId="0" fillId="5" borderId="12" xfId="0" applyNumberFormat="1" applyFill="1" applyBorder="1" applyAlignment="1">
      <alignment horizontal="center"/>
    </xf>
    <xf numFmtId="8" fontId="0" fillId="5" borderId="13" xfId="0" applyNumberFormat="1" applyFill="1" applyBorder="1" applyAlignment="1">
      <alignment horizontal="center"/>
    </xf>
    <xf numFmtId="165" fontId="0" fillId="7" borderId="13" xfId="0" applyNumberFormat="1" applyFill="1" applyBorder="1" applyAlignment="1">
      <alignment horizontal="center"/>
    </xf>
    <xf numFmtId="0" fontId="6" fillId="7" borderId="8" xfId="0" applyFont="1" applyFill="1" applyBorder="1" applyAlignment="1">
      <alignment horizontal="left" indent="4"/>
    </xf>
    <xf numFmtId="0" fontId="6" fillId="7" borderId="9" xfId="0" applyFont="1" applyFill="1" applyBorder="1" applyAlignment="1">
      <alignment horizontal="left" indent="4"/>
    </xf>
    <xf numFmtId="0" fontId="9" fillId="4" borderId="8" xfId="0" applyFont="1" applyFill="1" applyBorder="1" applyAlignment="1">
      <alignment horizontal="left" indent="4"/>
    </xf>
    <xf numFmtId="0" fontId="9" fillId="4" borderId="9" xfId="0" applyFont="1" applyFill="1" applyBorder="1" applyAlignment="1">
      <alignment horizontal="left" indent="4"/>
    </xf>
    <xf numFmtId="0" fontId="9" fillId="4" borderId="11" xfId="0" applyFont="1" applyFill="1" applyBorder="1" applyAlignment="1">
      <alignment horizontal="left" indent="4"/>
    </xf>
    <xf numFmtId="0" fontId="9" fillId="4" borderId="12" xfId="0" applyFont="1" applyFill="1" applyBorder="1" applyAlignment="1">
      <alignment horizontal="left" indent="4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indent="4"/>
    </xf>
    <xf numFmtId="0" fontId="6" fillId="7" borderId="6" xfId="0" applyFont="1" applyFill="1" applyBorder="1" applyAlignment="1">
      <alignment horizontal="left" indent="4"/>
    </xf>
    <xf numFmtId="0" fontId="6" fillId="7" borderId="11" xfId="0" applyFont="1" applyFill="1" applyBorder="1" applyAlignment="1">
      <alignment horizontal="left" indent="4"/>
    </xf>
    <xf numFmtId="0" fontId="6" fillId="7" borderId="12" xfId="0" applyFont="1" applyFill="1" applyBorder="1" applyAlignment="1">
      <alignment horizontal="left" indent="4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8" borderId="0" xfId="0" applyFill="1"/>
    <xf numFmtId="165" fontId="0" fillId="7" borderId="0" xfId="0" applyNumberFormat="1" applyFill="1"/>
    <xf numFmtId="9" fontId="0" fillId="0" borderId="0" xfId="0" applyNumberFormat="1"/>
    <xf numFmtId="0" fontId="0" fillId="7" borderId="0" xfId="0" applyFill="1" applyAlignment="1">
      <alignment horizontal="left"/>
    </xf>
    <xf numFmtId="0" fontId="0" fillId="0" borderId="18" xfId="0" applyBorder="1"/>
    <xf numFmtId="0" fontId="0" fillId="3" borderId="18" xfId="0" applyFill="1" applyBorder="1"/>
    <xf numFmtId="9" fontId="0" fillId="0" borderId="18" xfId="0" applyNumberFormat="1" applyBorder="1"/>
    <xf numFmtId="0" fontId="0" fillId="9" borderId="0" xfId="0" applyFill="1"/>
    <xf numFmtId="165" fontId="0" fillId="0" borderId="19" xfId="0" applyNumberFormat="1" applyBorder="1"/>
    <xf numFmtId="9" fontId="0" fillId="0" borderId="19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5" fontId="0" fillId="0" borderId="22" xfId="0" applyNumberFormat="1" applyBorder="1"/>
    <xf numFmtId="9" fontId="0" fillId="0" borderId="23" xfId="0" applyNumberFormat="1" applyBorder="1"/>
    <xf numFmtId="0" fontId="0" fillId="0" borderId="24" xfId="0" applyBorder="1"/>
    <xf numFmtId="0" fontId="0" fillId="0" borderId="25" xfId="0" applyBorder="1"/>
    <xf numFmtId="9" fontId="0" fillId="0" borderId="26" xfId="0" applyNumberFormat="1" applyBorder="1"/>
    <xf numFmtId="0" fontId="0" fillId="7" borderId="19" xfId="0" applyFill="1" applyBorder="1"/>
    <xf numFmtId="0" fontId="0" fillId="7" borderId="25" xfId="0" applyFill="1" applyBorder="1"/>
    <xf numFmtId="165" fontId="0" fillId="7" borderId="27" xfId="0" applyNumberFormat="1" applyFill="1" applyBorder="1"/>
    <xf numFmtId="0" fontId="0" fillId="0" borderId="28" xfId="0" applyBorder="1"/>
    <xf numFmtId="9" fontId="0" fillId="0" borderId="0" xfId="0" applyNumberFormat="1" applyBorder="1"/>
    <xf numFmtId="9" fontId="0" fillId="0" borderId="25" xfId="0" applyNumberFormat="1" applyBorder="1"/>
    <xf numFmtId="165" fontId="0" fillId="0" borderId="28" xfId="0" applyNumberFormat="1" applyBorder="1"/>
    <xf numFmtId="9" fontId="0" fillId="0" borderId="29" xfId="0" applyNumberFormat="1" applyBorder="1"/>
    <xf numFmtId="0" fontId="0" fillId="0" borderId="30" xfId="0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158A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ln w="19050" cap="flat" cmpd="sng" algn="ctr">
              <a:solidFill>
                <a:srgbClr val="44546A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chemeClr val="accent1"/>
              </a:solidFill>
              <a:ln w="19050" cap="flat" cmpd="sng" algn="ctr">
                <a:solidFill>
                  <a:srgbClr val="44546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A-4094-8A20-7F8928F5CA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 cap="flat" cmpd="sng" algn="ctr">
                <a:solidFill>
                  <a:srgbClr val="44546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 cap="flat" cmpd="sng" algn="ctr">
                <a:solidFill>
                  <a:srgbClr val="44546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 cap="flat" cmpd="sng" algn="ctr">
                <a:solidFill>
                  <a:srgbClr val="44546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 cap="flat" cmpd="sng" algn="ctr">
                <a:solidFill>
                  <a:srgbClr val="44546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 cap="flat" cmpd="sng" algn="ctr">
                <a:solidFill>
                  <a:srgbClr val="44546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APP_INVEST!$B$36:$B$41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APP_INVEST!$C$36:$C$41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A-4094-8A20-7F8928F5C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4472C4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4</xdr:col>
      <xdr:colOff>28575</xdr:colOff>
      <xdr:row>7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D8A125-82CD-F27B-EAED-BAC7C2900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8889" b="22222"/>
        <a:stretch>
          <a:fillRect/>
        </a:stretch>
      </xdr:blipFill>
      <xdr:spPr>
        <a:xfrm>
          <a:off x="361950" y="0"/>
          <a:ext cx="6124575" cy="1485900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43</xdr:row>
      <xdr:rowOff>28575</xdr:rowOff>
    </xdr:from>
    <xdr:to>
      <xdr:col>3</xdr:col>
      <xdr:colOff>561975</xdr:colOff>
      <xdr:row>58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C1855AF-81CD-0F73-07B8-6C28D7E8D0F4}"/>
            </a:ext>
            <a:ext uri="{147F2762-F138-4A5C-976F-8EAC2B608ADB}">
              <a16:predDERef xmlns:a16="http://schemas.microsoft.com/office/drawing/2014/main" pred="{64D8A125-82CD-F27B-EAED-BAC7C2900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K42"/>
  <sheetViews>
    <sheetView showGridLines="0" tabSelected="1" workbookViewId="0">
      <selection activeCell="C32" sqref="C32"/>
    </sheetView>
  </sheetViews>
  <sheetFormatPr defaultColWidth="0" defaultRowHeight="15"/>
  <cols>
    <col min="1" max="1" width="4.85546875" customWidth="1"/>
    <col min="2" max="2" width="48.7109375" customWidth="1"/>
    <col min="3" max="3" width="30.7109375" customWidth="1"/>
    <col min="4" max="4" width="12.5703125" bestFit="1" customWidth="1"/>
    <col min="5" max="5" width="21.42578125" customWidth="1"/>
    <col min="6" max="6" width="23.85546875" hidden="1" customWidth="1"/>
    <col min="7" max="7" width="12.42578125" hidden="1" customWidth="1"/>
    <col min="8" max="11" width="9.140625" hidden="1" customWidth="1"/>
    <col min="12" max="219" width="9.140625" hidden="1"/>
  </cols>
  <sheetData>
    <row r="6" spans="2:5">
      <c r="E6" s="7"/>
    </row>
    <row r="11" spans="2:5" ht="23.25">
      <c r="B11" s="34" t="s">
        <v>0</v>
      </c>
      <c r="C11" s="35"/>
      <c r="D11" s="3"/>
    </row>
    <row r="12" spans="2:5" ht="21">
      <c r="B12" s="36" t="s">
        <v>1</v>
      </c>
      <c r="C12" s="37"/>
      <c r="D12" s="11">
        <v>4200</v>
      </c>
    </row>
    <row r="13" spans="2:5" ht="21">
      <c r="B13" s="28" t="s">
        <v>2</v>
      </c>
      <c r="C13" s="29"/>
      <c r="D13" s="12">
        <v>6.0000000000000001E-3</v>
      </c>
    </row>
    <row r="14" spans="2:5" ht="21">
      <c r="B14" s="38" t="s">
        <v>3</v>
      </c>
      <c r="C14" s="39"/>
      <c r="D14" s="27">
        <f>D12*0.3</f>
        <v>1260</v>
      </c>
    </row>
    <row r="15" spans="2:5">
      <c r="C15" s="4"/>
      <c r="D15" s="4"/>
    </row>
    <row r="16" spans="2:5" ht="21">
      <c r="B16" s="40" t="s">
        <v>4</v>
      </c>
      <c r="C16" s="41"/>
      <c r="D16" s="6"/>
    </row>
    <row r="17" spans="1:4" ht="21">
      <c r="B17" s="36" t="s">
        <v>5</v>
      </c>
      <c r="C17" s="37"/>
      <c r="D17" s="13">
        <v>1260</v>
      </c>
    </row>
    <row r="18" spans="1:4" ht="21">
      <c r="B18" s="28" t="s">
        <v>6</v>
      </c>
      <c r="C18" s="29"/>
      <c r="D18" s="14">
        <v>10</v>
      </c>
    </row>
    <row r="19" spans="1:4" ht="21">
      <c r="B19" s="28" t="s">
        <v>7</v>
      </c>
      <c r="C19" s="29"/>
      <c r="D19" s="15">
        <v>1.0789999999999999E-2</v>
      </c>
    </row>
    <row r="20" spans="1:4" ht="21">
      <c r="B20" s="30" t="s">
        <v>8</v>
      </c>
      <c r="C20" s="31"/>
      <c r="D20" s="16" cm="1">
        <f t="array" ref="D20">+FV(Taxa_Mensal,Qtd_Anos*12,aporte*-1)</f>
        <v>306538.10778801696</v>
      </c>
    </row>
    <row r="21" spans="1:4" ht="21">
      <c r="B21" s="32" t="s">
        <v>9</v>
      </c>
      <c r="C21" s="33"/>
      <c r="D21" s="17" cm="1">
        <f t="array" ref="D21">patrimonio*Rendimento_Carteira</f>
        <v>1839.2286467281017</v>
      </c>
    </row>
    <row r="22" spans="1:4">
      <c r="B22" s="2"/>
      <c r="C22" s="5"/>
      <c r="D22" s="4"/>
    </row>
    <row r="23" spans="1:4" ht="21">
      <c r="B23" s="8" t="s">
        <v>10</v>
      </c>
      <c r="C23" s="9"/>
      <c r="D23" s="10" t="s">
        <v>11</v>
      </c>
    </row>
    <row r="24" spans="1:4" ht="15.75">
      <c r="A24" s="1">
        <v>2</v>
      </c>
      <c r="B24" s="18" t="s">
        <v>12</v>
      </c>
      <c r="C24" s="19" cm="1">
        <f t="array" ref="C24">FV(Taxa_Mensal,A24*12,aporte*-1)</f>
        <v>34306.810395032975</v>
      </c>
      <c r="D24" s="20" cm="1">
        <f t="array" ref="D24">C24*Rendimento_Carteira</f>
        <v>205.84086237019787</v>
      </c>
    </row>
    <row r="25" spans="1:4" ht="15.75">
      <c r="A25" s="1">
        <v>5</v>
      </c>
      <c r="B25" s="21" t="s">
        <v>13</v>
      </c>
      <c r="C25" s="22" cm="1">
        <f t="array" ref="C25">FV(Taxa_Mensal,A25*12,aporte*-1)</f>
        <v>105558.91163809443</v>
      </c>
      <c r="D25" s="23" cm="1">
        <f t="array" ref="D25">C25*Rendimento_Carteira</f>
        <v>633.35346982856663</v>
      </c>
    </row>
    <row r="26" spans="1:4" ht="15.75">
      <c r="A26" s="1">
        <v>10</v>
      </c>
      <c r="B26" s="21" t="s">
        <v>14</v>
      </c>
      <c r="C26" s="22" cm="1">
        <f t="array" ref="C26">FV(Taxa_Mensal,A26*12,aporte*-1)</f>
        <v>306538.10778801696</v>
      </c>
      <c r="D26" s="23" cm="1">
        <f t="array" ref="D26">C26*Rendimento_Carteira</f>
        <v>1839.2286467281017</v>
      </c>
    </row>
    <row r="27" spans="1:4" ht="15.75">
      <c r="A27" s="1">
        <v>20</v>
      </c>
      <c r="B27" s="21" t="s">
        <v>15</v>
      </c>
      <c r="C27" s="22" cm="1">
        <f t="array" ref="C27">FV(Taxa_Mensal,A27*12,aporte*-1)</f>
        <v>1417749.9841223215</v>
      </c>
      <c r="D27" s="23" cm="1">
        <f t="array" ref="D27">C27*Rendimento_Carteira</f>
        <v>8506.4999047339297</v>
      </c>
    </row>
    <row r="28" spans="1:4" ht="15.75">
      <c r="A28" s="1">
        <v>30</v>
      </c>
      <c r="B28" s="24" t="s">
        <v>16</v>
      </c>
      <c r="C28" s="25" cm="1">
        <f t="array" ref="C28">FV(Taxa_Mensal,A28*12,aporte*-1)</f>
        <v>5445933.7653059401</v>
      </c>
      <c r="D28" s="26" cm="1">
        <f t="array" ref="D28">C28*Rendimento_Carteira</f>
        <v>32675.602591835643</v>
      </c>
    </row>
    <row r="29" spans="1:4">
      <c r="C29" s="4"/>
      <c r="D29" s="4"/>
    </row>
    <row r="30" spans="1:4">
      <c r="C30" s="4"/>
      <c r="D30" s="4"/>
    </row>
    <row r="32" spans="1:4">
      <c r="B32" s="42" t="s">
        <v>17</v>
      </c>
      <c r="C32" s="42" t="s">
        <v>18</v>
      </c>
    </row>
    <row r="33" spans="2:4">
      <c r="B33" s="45" t="s">
        <v>19</v>
      </c>
      <c r="C33" s="45"/>
      <c r="D33" s="43">
        <v>500</v>
      </c>
    </row>
    <row r="35" spans="2:4">
      <c r="B35" s="52" t="s">
        <v>20</v>
      </c>
      <c r="C35" s="68" t="s">
        <v>21</v>
      </c>
      <c r="D35" s="52" t="s">
        <v>22</v>
      </c>
    </row>
    <row r="36" spans="2:4">
      <c r="B36" s="53" t="s">
        <v>23</v>
      </c>
      <c r="C36" s="56">
        <f>VLOOKUP($C$32&amp;"-"&amp;B36,APOIO!A:D,4,FALSE)</f>
        <v>0.5</v>
      </c>
      <c r="D36" s="55">
        <f>C36*$D$33</f>
        <v>250</v>
      </c>
    </row>
    <row r="37" spans="2:4">
      <c r="B37" s="54" t="s">
        <v>24</v>
      </c>
      <c r="C37" s="67">
        <f>VLOOKUP($C$32&amp;"-"&amp;B37,APOIO!A:D,4,FALSE)</f>
        <v>0.1</v>
      </c>
      <c r="D37" s="50">
        <f>C37*$D$33</f>
        <v>50</v>
      </c>
    </row>
    <row r="38" spans="2:4">
      <c r="B38" s="57" t="s">
        <v>25</v>
      </c>
      <c r="C38" s="51">
        <f>VLOOKUP($C$32&amp;"-"&amp;B38,APOIO!A:D,4,FALSE)</f>
        <v>0.05</v>
      </c>
      <c r="D38" s="55">
        <f>C38*$D$33</f>
        <v>25</v>
      </c>
    </row>
    <row r="39" spans="2:4">
      <c r="B39" s="58" t="s">
        <v>26</v>
      </c>
      <c r="C39" s="65">
        <f>VLOOKUP($C$32&amp;"-"&amp;B39,APOIO!A:D,4,FALSE)</f>
        <v>0.05</v>
      </c>
      <c r="D39" s="50">
        <f>C39*$D$33</f>
        <v>25</v>
      </c>
    </row>
    <row r="40" spans="2:4">
      <c r="B40" s="63" t="s">
        <v>27</v>
      </c>
      <c r="C40" s="59">
        <f>VLOOKUP($C$32&amp;"-"&amp;B40,APOIO!A:D,4,FALSE)</f>
        <v>0.2</v>
      </c>
      <c r="D40" s="66">
        <f>C40*$D$33</f>
        <v>100</v>
      </c>
    </row>
    <row r="41" spans="2:4">
      <c r="B41" s="52" t="s">
        <v>28</v>
      </c>
      <c r="C41" s="64">
        <f>VLOOKUP($C$32&amp;"-"&amp;B41,APOIO!A:D,4,FALSE)</f>
        <v>0.1</v>
      </c>
      <c r="D41" s="50">
        <f>C41*$D$33</f>
        <v>50</v>
      </c>
    </row>
    <row r="42" spans="2:4">
      <c r="B42" s="61"/>
      <c r="C42" s="60"/>
      <c r="D42" s="62">
        <f>SUM(D36:D41)</f>
        <v>500</v>
      </c>
    </row>
  </sheetData>
  <mergeCells count="11">
    <mergeCell ref="B33:C33"/>
    <mergeCell ref="B18:C18"/>
    <mergeCell ref="B19:C19"/>
    <mergeCell ref="B20:C20"/>
    <mergeCell ref="B21:C21"/>
    <mergeCell ref="B11:C11"/>
    <mergeCell ref="B12:C12"/>
    <mergeCell ref="B14:C14"/>
    <mergeCell ref="B13:C13"/>
    <mergeCell ref="B16:C16"/>
    <mergeCell ref="B17:C17"/>
  </mergeCells>
  <dataValidations count="1">
    <dataValidation type="list" allowBlank="1" showInputMessage="1" showErrorMessage="1" sqref="C32" xr:uid="{10031B1F-CA50-435C-BBBD-CD6E526917D2}">
      <formula1>"AGRESSIVO,MODERADO,CONSERVADOR"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3194-268E-4D27-8439-A6417D3E5FC1}">
  <dimension ref="A5:I24"/>
  <sheetViews>
    <sheetView workbookViewId="0">
      <selection activeCell="I6" sqref="I6"/>
    </sheetView>
  </sheetViews>
  <sheetFormatPr defaultRowHeight="15"/>
  <cols>
    <col min="1" max="1" width="34" bestFit="1" customWidth="1"/>
    <col min="2" max="2" width="14.7109375" bestFit="1" customWidth="1"/>
    <col min="3" max="3" width="19.28515625" bestFit="1" customWidth="1"/>
    <col min="4" max="4" width="9.28515625" customWidth="1"/>
    <col min="8" max="8" width="19.28515625" bestFit="1" customWidth="1"/>
    <col min="10" max="10" width="2.7109375" bestFit="1" customWidth="1"/>
  </cols>
  <sheetData>
    <row r="5" spans="1:9">
      <c r="I5" t="s">
        <v>29</v>
      </c>
    </row>
    <row r="6" spans="1:9">
      <c r="A6" s="49" t="s">
        <v>30</v>
      </c>
      <c r="B6" s="49" t="s">
        <v>17</v>
      </c>
      <c r="C6" s="49" t="s">
        <v>20</v>
      </c>
      <c r="D6" s="49" t="s">
        <v>29</v>
      </c>
      <c r="H6" t="s">
        <v>31</v>
      </c>
      <c r="I6" s="44">
        <f>VLOOKUP(H6,A:D,4,FALSE)</f>
        <v>0.4</v>
      </c>
    </row>
    <row r="7" spans="1:9">
      <c r="A7" t="str">
        <f>B7&amp;"-"&amp;C7</f>
        <v>CONSERVADOR-PAPEL</v>
      </c>
      <c r="B7" s="2" t="s">
        <v>32</v>
      </c>
      <c r="C7" t="s">
        <v>23</v>
      </c>
      <c r="D7" s="44">
        <v>0.3</v>
      </c>
    </row>
    <row r="8" spans="1:9">
      <c r="A8" t="str">
        <f t="shared" ref="A8:A24" si="0">B8&amp;"-"&amp;C8</f>
        <v>CONSERVADOR-TIJOLO</v>
      </c>
      <c r="B8" s="2" t="s">
        <v>32</v>
      </c>
      <c r="C8" t="s">
        <v>24</v>
      </c>
      <c r="D8" s="44">
        <v>0.5</v>
      </c>
    </row>
    <row r="9" spans="1:9">
      <c r="A9" t="str">
        <f t="shared" si="0"/>
        <v>CONSERVADOR-HIBRIDO</v>
      </c>
      <c r="B9" s="2" t="s">
        <v>32</v>
      </c>
      <c r="C9" t="s">
        <v>25</v>
      </c>
      <c r="D9" s="44">
        <v>0.1</v>
      </c>
    </row>
    <row r="10" spans="1:9">
      <c r="A10" t="str">
        <f t="shared" si="0"/>
        <v>CONSERVADOR-FOFs</v>
      </c>
      <c r="B10" s="2" t="s">
        <v>32</v>
      </c>
      <c r="C10" t="s">
        <v>26</v>
      </c>
      <c r="D10" s="44">
        <v>0.1</v>
      </c>
    </row>
    <row r="11" spans="1:9">
      <c r="A11" t="str">
        <f t="shared" si="0"/>
        <v>CONSERVADOR-DESENVOLVIMENTO</v>
      </c>
      <c r="B11" s="2" t="s">
        <v>32</v>
      </c>
      <c r="C11" t="s">
        <v>27</v>
      </c>
      <c r="D11" s="44">
        <v>0</v>
      </c>
    </row>
    <row r="12" spans="1:9">
      <c r="A12" s="46" t="str">
        <f t="shared" si="0"/>
        <v>CONSERVADOR-HOTELARIAS</v>
      </c>
      <c r="B12" s="47" t="s">
        <v>32</v>
      </c>
      <c r="C12" s="46" t="s">
        <v>28</v>
      </c>
      <c r="D12" s="48">
        <v>0</v>
      </c>
    </row>
    <row r="13" spans="1:9">
      <c r="A13" t="str">
        <f t="shared" si="0"/>
        <v>MODERADO-PAPEL</v>
      </c>
      <c r="B13" t="s">
        <v>33</v>
      </c>
      <c r="C13" t="s">
        <v>23</v>
      </c>
      <c r="D13" s="44">
        <v>0.32</v>
      </c>
    </row>
    <row r="14" spans="1:9">
      <c r="A14" t="str">
        <f t="shared" si="0"/>
        <v>MODERADO-TIJOLO</v>
      </c>
      <c r="B14" t="s">
        <v>33</v>
      </c>
      <c r="C14" t="s">
        <v>24</v>
      </c>
      <c r="D14" s="44">
        <v>0.4</v>
      </c>
    </row>
    <row r="15" spans="1:9">
      <c r="A15" t="str">
        <f t="shared" si="0"/>
        <v>MODERADO-HIBRIDO</v>
      </c>
      <c r="B15" t="s">
        <v>33</v>
      </c>
      <c r="C15" t="s">
        <v>25</v>
      </c>
      <c r="D15" s="44">
        <v>0.08</v>
      </c>
    </row>
    <row r="16" spans="1:9">
      <c r="A16" t="str">
        <f t="shared" si="0"/>
        <v>MODERADO-FOFs</v>
      </c>
      <c r="B16" t="s">
        <v>33</v>
      </c>
      <c r="C16" t="s">
        <v>26</v>
      </c>
      <c r="D16" s="44">
        <v>0.1</v>
      </c>
    </row>
    <row r="17" spans="1:4">
      <c r="A17" t="str">
        <f t="shared" si="0"/>
        <v>MODERADO-DESENVOLVIMENTO</v>
      </c>
      <c r="B17" t="s">
        <v>33</v>
      </c>
      <c r="C17" t="s">
        <v>27</v>
      </c>
      <c r="D17" s="44">
        <v>0.1</v>
      </c>
    </row>
    <row r="18" spans="1:4">
      <c r="A18" s="46" t="str">
        <f t="shared" si="0"/>
        <v>MODERADO-HOTELARIAS</v>
      </c>
      <c r="B18" s="46" t="s">
        <v>33</v>
      </c>
      <c r="C18" s="46" t="s">
        <v>28</v>
      </c>
      <c r="D18" s="48">
        <v>0.1</v>
      </c>
    </row>
    <row r="19" spans="1:4">
      <c r="A19" t="str">
        <f t="shared" si="0"/>
        <v>AGRESSIVO-PAPEL</v>
      </c>
      <c r="B19" t="s">
        <v>18</v>
      </c>
      <c r="C19" t="s">
        <v>23</v>
      </c>
      <c r="D19" s="44">
        <v>0.5</v>
      </c>
    </row>
    <row r="20" spans="1:4">
      <c r="A20" t="str">
        <f t="shared" si="0"/>
        <v>AGRESSIVO-TIJOLO</v>
      </c>
      <c r="B20" t="s">
        <v>18</v>
      </c>
      <c r="C20" t="s">
        <v>24</v>
      </c>
      <c r="D20" s="44">
        <v>0.1</v>
      </c>
    </row>
    <row r="21" spans="1:4">
      <c r="A21" t="str">
        <f t="shared" si="0"/>
        <v>AGRESSIVO-HIBRIDO</v>
      </c>
      <c r="B21" t="s">
        <v>18</v>
      </c>
      <c r="C21" t="s">
        <v>25</v>
      </c>
      <c r="D21" s="44">
        <v>0.05</v>
      </c>
    </row>
    <row r="22" spans="1:4">
      <c r="A22" t="str">
        <f t="shared" si="0"/>
        <v>AGRESSIVO-FOFs</v>
      </c>
      <c r="B22" t="s">
        <v>18</v>
      </c>
      <c r="C22" t="s">
        <v>26</v>
      </c>
      <c r="D22" s="44">
        <v>0.05</v>
      </c>
    </row>
    <row r="23" spans="1:4">
      <c r="A23" t="str">
        <f t="shared" si="0"/>
        <v>AGRESSIVO-DESENVOLVIMENTO</v>
      </c>
      <c r="B23" t="s">
        <v>18</v>
      </c>
      <c r="C23" t="s">
        <v>27</v>
      </c>
      <c r="D23" s="44">
        <v>0.2</v>
      </c>
    </row>
    <row r="24" spans="1:4">
      <c r="A24" t="str">
        <f t="shared" si="0"/>
        <v>AGRESSIVO-HOTELARIAS</v>
      </c>
      <c r="B24" t="s">
        <v>18</v>
      </c>
      <c r="C24" t="s">
        <v>28</v>
      </c>
      <c r="D24" s="44">
        <v>0.1</v>
      </c>
    </row>
  </sheetData>
  <dataValidations count="1">
    <dataValidation type="list" allowBlank="1" showInputMessage="1" showErrorMessage="1" sqref="B7:B12" xr:uid="{616FAA11-8E0B-4477-BAF1-7984D9C05788}">
      <formula1>"AGRESSIVO,MODERADO,CONSERVADOR"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2026-10-07T23:01:37Z</dcterms:created>
  <dcterms:modified xsi:type="dcterms:W3CDTF">2026-10-08T01:34:30Z</dcterms:modified>
  <cp:category/>
  <cp:contentStatus/>
</cp:coreProperties>
</file>